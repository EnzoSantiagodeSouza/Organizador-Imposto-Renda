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s\Downloads\"/>
    </mc:Choice>
  </mc:AlternateContent>
  <xr:revisionPtr revIDLastSave="0" documentId="13_ncr:1_{DDDC4B02-CC79-4434-AB0C-8BFB2DEEEC4A}" xr6:coauthVersionLast="47" xr6:coauthVersionMax="47" xr10:uidLastSave="{00000000-0000-0000-0000-000000000000}"/>
  <bookViews>
    <workbookView xWindow="-120" yWindow="-120" windowWidth="29040" windowHeight="15720" tabRatio="0" firstSheet="1" activeTab="1" xr2:uid="{1C1F6274-6663-434E-B6B1-2886BA4432A3}"/>
  </bookViews>
  <sheets>
    <sheet name="Bancos" sheetId="2" state="hidden" r:id="rId1"/>
    <sheet name="TITULAR" sheetId="3" r:id="rId2"/>
    <sheet name="INFORMES" sheetId="6" r:id="rId3"/>
    <sheet name="NOTA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</calcChain>
</file>

<file path=xl/sharedStrings.xml><?xml version="1.0" encoding="utf-8"?>
<sst xmlns="http://schemas.openxmlformats.org/spreadsheetml/2006/main" count="107" uniqueCount="93">
  <si>
    <t>104 - Caixa Econômica Federal</t>
  </si>
  <si>
    <t>260 - Nubank</t>
  </si>
  <si>
    <t>654 - Banco AJ Renner</t>
  </si>
  <si>
    <t>218 - Banco Bonsucesso</t>
  </si>
  <si>
    <t>237 - Banco Bradesco</t>
  </si>
  <si>
    <t>208 - Banco BTG Pactual</t>
  </si>
  <si>
    <t>44 - Banco BVA</t>
  </si>
  <si>
    <t>241 - Banco Clássico</t>
  </si>
  <si>
    <t>229 - Banco Cruzeiro do Sul</t>
  </si>
  <si>
    <t>3 - Banco da Amazônia</t>
  </si>
  <si>
    <t>707 - Banco Daycoval</t>
  </si>
  <si>
    <t>250 - Banco de Crédito e Varejo (BCV)</t>
  </si>
  <si>
    <t>24 - Banco de Pernambuco</t>
  </si>
  <si>
    <t>1 - Banco do Brasil</t>
  </si>
  <si>
    <t>37 - Banco do Estado do Pará</t>
  </si>
  <si>
    <t>29 - Banco do Estado do Rio de Janeiro</t>
  </si>
  <si>
    <t>41 - Banco do Estado do Rio Grande do Sul</t>
  </si>
  <si>
    <t>4 - Banco do Nordeste do Brasil</t>
  </si>
  <si>
    <t>734 - Banco Gerdau</t>
  </si>
  <si>
    <t>604 - Banco Industrial do Brasil</t>
  </si>
  <si>
    <t>77 - Banco Inter</t>
  </si>
  <si>
    <t>74 - Banco J. Safra</t>
  </si>
  <si>
    <t>79 - Banco JBS</t>
  </si>
  <si>
    <t>65 - Banco Lemon</t>
  </si>
  <si>
    <t>600 - Banco Luso Brasileiro</t>
  </si>
  <si>
    <t>746 - Banco Modal</t>
  </si>
  <si>
    <t>66 - Banco Morgan Stanley</t>
  </si>
  <si>
    <t>735 - Banco Neon</t>
  </si>
  <si>
    <t>212 - Banco Original</t>
  </si>
  <si>
    <t>72 - Banco Rural Mais</t>
  </si>
  <si>
    <t>422 - Banco Safra</t>
  </si>
  <si>
    <t>33 - Banco Santander</t>
  </si>
  <si>
    <t>749 - Banco Simples</t>
  </si>
  <si>
    <t>464 - Banco Sumitomo Mitsui Brasileiro</t>
  </si>
  <si>
    <t>82 - Banco Topázio</t>
  </si>
  <si>
    <t>634 - Banco Triângulo</t>
  </si>
  <si>
    <t>655 - Banco Votorantim</t>
  </si>
  <si>
    <t>610 - Banco VR</t>
  </si>
  <si>
    <t>119 - Banco Western Union do Brasil</t>
  </si>
  <si>
    <t>336 - C6 Bank</t>
  </si>
  <si>
    <t>477 - Citibank</t>
  </si>
  <si>
    <t>62 - Hipercard Banco Múltiplo</t>
  </si>
  <si>
    <t>341 - Itaú Unibanco</t>
  </si>
  <si>
    <t>197 - Stone Pagamentos</t>
  </si>
  <si>
    <t>290 - PagBank</t>
  </si>
  <si>
    <t>380 - PicPay</t>
  </si>
  <si>
    <t>184 - Banco Itaú BBA S.A.</t>
  </si>
  <si>
    <t>748 - Banco Cooperativo Sicredi S.A.</t>
  </si>
  <si>
    <t>102 - XP Investimentos CCTVM S.A.</t>
  </si>
  <si>
    <t>376 - Banco JPMorgan S.A.</t>
  </si>
  <si>
    <t>bancos</t>
  </si>
  <si>
    <t xml:space="preserve"> 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</si>
  <si>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</si>
  <si>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</si>
  <si>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</si>
  <si>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</si>
  <si>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</si>
  <si>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</si>
  <si>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</si>
  <si>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</si>
  <si>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</si>
  <si>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</si>
  <si>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</si>
  <si>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</si>
  <si>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</si>
  <si>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</si>
  <si>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Preencha os dados da pessoa física abaixo</t>
  </si>
  <si>
    <t>João Do Limão</t>
  </si>
  <si>
    <t>Maria</t>
  </si>
  <si>
    <t>Rua Do Limoeiro. Paulo, - Nº 20</t>
  </si>
  <si>
    <t>Rua Do Limoeiro. P, - Nº 20</t>
  </si>
  <si>
    <t>email@gmail.com</t>
  </si>
  <si>
    <t>SIM</t>
  </si>
  <si>
    <t>NÃO</t>
  </si>
  <si>
    <t>1. DADOS</t>
  </si>
  <si>
    <t>2. INFORMES DE RENDIMENTOS BANCÁRIOS</t>
  </si>
  <si>
    <t>Preencha com seus dados atuais de cada banco</t>
  </si>
  <si>
    <t>BANCO</t>
  </si>
  <si>
    <t>VALOR</t>
  </si>
  <si>
    <t>ANEXO</t>
  </si>
  <si>
    <t>1º Banco</t>
  </si>
  <si>
    <t>valor.pdf</t>
  </si>
  <si>
    <t>Valor Total</t>
  </si>
  <si>
    <t>2º Banco</t>
  </si>
  <si>
    <t>238 - Banco Bradesco</t>
  </si>
  <si>
    <t>3º Banco</t>
  </si>
  <si>
    <t>239 - Banco Bradesco</t>
  </si>
  <si>
    <t>ENTRADAS</t>
  </si>
  <si>
    <t>DATA</t>
  </si>
  <si>
    <t>CATEGORIA</t>
  </si>
  <si>
    <t>3. NOTAS BANCÁRIAS OU EXTRATOS DE HOLERITES</t>
  </si>
  <si>
    <t>HOLERITE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</si>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</sst>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00000&quot;-&quot;0000"/>
    <numFmt numFmtId="168" formatCode="&quot;R$&quot;\ #,##0.00"/>
    <numFmt numFmtId="169" formatCode="mmmm&quot;-&quot;yyyy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3"/>
      <name val="Arial Black"/>
      <family val="2"/>
    </font>
    <font>
      <i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5" tint="-0.499984740745262"/>
      <name val="Segoe UI"/>
      <family val="2"/>
    </font>
    <font>
      <u/>
      <sz val="11"/>
      <color theme="10"/>
      <name val="Aptos Narrow"/>
      <family val="2"/>
      <scheme val="minor"/>
    </font>
    <font>
      <sz val="9"/>
      <color theme="1" tint="0.249977111117893"/>
      <name val="Segoe UI Light"/>
      <family val="2"/>
    </font>
    <font>
      <sz val="8"/>
      <name val="Aptos Narrow"/>
      <family val="2"/>
      <scheme val="minor"/>
    </font>
    <font>
      <sz val="11"/>
      <color theme="1" tint="0.249977111117893"/>
      <name val="Segoe UI Light"/>
      <family val="2"/>
    </font>
    <font>
      <b/>
      <sz val="11"/>
      <color theme="1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A0426"/>
        <bgColor indexed="64"/>
      </patternFill>
    </fill>
    <fill>
      <patternFill patternType="solid">
        <fgColor rgb="FFFFCC99"/>
      </patternFill>
    </fill>
    <fill>
      <patternFill patternType="solid">
        <fgColor rgb="FFFDD1A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theme="5"/>
      </bottom>
      <diagonal/>
    </border>
    <border>
      <left/>
      <right/>
      <top style="thick">
        <color theme="5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2" applyNumberFormat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4" fillId="0" borderId="3" xfId="0" applyFont="1" applyBorder="1" applyAlignment="1">
      <alignment horizontal="right"/>
    </xf>
    <xf numFmtId="0" fontId="10" fillId="0" borderId="0" xfId="0" applyFont="1"/>
    <xf numFmtId="0" fontId="3" fillId="5" borderId="0" xfId="0" applyFont="1" applyFill="1"/>
    <xf numFmtId="0" fontId="12" fillId="0" borderId="0" xfId="0" applyFont="1"/>
    <xf numFmtId="0" fontId="0" fillId="0" borderId="0" xfId="0" applyAlignment="1">
      <alignment horizontal="center" vertical="center"/>
    </xf>
    <xf numFmtId="0" fontId="5" fillId="0" borderId="5" xfId="1" applyFont="1" applyBorder="1" applyAlignment="1">
      <alignment horizontal="left" vertical="top"/>
    </xf>
    <xf numFmtId="0" fontId="6" fillId="4" borderId="6" xfId="0" applyFont="1" applyFill="1" applyBorder="1" applyAlignment="1">
      <alignment horizontal="left" vertical="center" indent="2"/>
    </xf>
    <xf numFmtId="0" fontId="7" fillId="4" borderId="6" xfId="0" applyFont="1" applyFill="1" applyBorder="1" applyAlignment="1">
      <alignment horizontal="left" vertical="center" indent="2"/>
    </xf>
    <xf numFmtId="0" fontId="3" fillId="6" borderId="0" xfId="0" applyFont="1" applyFill="1" applyAlignment="1">
      <alignment horizontal="center"/>
    </xf>
    <xf numFmtId="168" fontId="13" fillId="3" borderId="7" xfId="2" applyNumberFormat="1" applyFont="1" applyBorder="1" applyAlignment="1">
      <alignment horizontal="center"/>
    </xf>
    <xf numFmtId="0" fontId="13" fillId="3" borderId="8" xfId="2" applyFont="1" applyBorder="1" applyAlignment="1">
      <alignment horizontal="center"/>
    </xf>
    <xf numFmtId="16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8" fillId="4" borderId="4" xfId="0" applyFont="1" applyFill="1" applyBorder="1" applyAlignment="1" applyProtection="1">
      <alignment horizontal="left" vertical="center"/>
      <protection locked="0"/>
    </xf>
    <xf numFmtId="168" fontId="8" fillId="4" borderId="4" xfId="0" applyNumberFormat="1" applyFont="1" applyFill="1" applyBorder="1" applyAlignment="1" applyProtection="1">
      <alignment horizontal="left" vertical="center"/>
      <protection locked="0"/>
    </xf>
    <xf numFmtId="14" fontId="8" fillId="4" borderId="4" xfId="0" applyNumberFormat="1" applyFont="1" applyFill="1" applyBorder="1" applyAlignment="1" applyProtection="1">
      <alignment horizontal="left" vertical="center"/>
      <protection locked="0"/>
    </xf>
    <xf numFmtId="164" fontId="8" fillId="4" borderId="4" xfId="0" applyNumberFormat="1" applyFont="1" applyFill="1" applyBorder="1" applyAlignment="1" applyProtection="1">
      <alignment horizontal="left" vertical="center"/>
      <protection locked="0"/>
    </xf>
    <xf numFmtId="165" fontId="8" fillId="4" borderId="4" xfId="0" applyNumberFormat="1" applyFont="1" applyFill="1" applyBorder="1" applyAlignment="1" applyProtection="1">
      <alignment horizontal="left" vertical="center"/>
      <protection locked="0"/>
    </xf>
    <xf numFmtId="166" fontId="8" fillId="4" borderId="4" xfId="0" applyNumberFormat="1" applyFont="1" applyFill="1" applyBorder="1" applyAlignment="1" applyProtection="1">
      <alignment horizontal="left" vertical="center"/>
      <protection locked="0"/>
    </xf>
    <xf numFmtId="167" fontId="8" fillId="4" borderId="4" xfId="0" applyNumberFormat="1" applyFont="1" applyFill="1" applyBorder="1" applyAlignment="1" applyProtection="1">
      <alignment horizontal="left" vertical="center"/>
      <protection locked="0"/>
    </xf>
    <xf numFmtId="0" fontId="9" fillId="4" borderId="4" xfId="3" applyFill="1" applyBorder="1" applyAlignment="1" applyProtection="1">
      <alignment horizontal="left" vertical="center"/>
      <protection locked="0"/>
    </xf>
  </cellXfs>
  <cellStyles count="4">
    <cellStyle name="Entrada" xfId="2" builtinId="20"/>
    <cellStyle name="Hiperlink" xfId="3" builtinId="8"/>
    <cellStyle name="Normal" xfId="0" builtinId="0"/>
    <cellStyle name="Título 1" xfId="1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9" formatCode="mmmm&quot;-&quot;yyyy"/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46F0A"/>
      <color rgb="FFFDD1A1"/>
      <color rgb="FF636AF3"/>
      <color rgb="FF40BFF2"/>
      <color rgb="FF0A0426"/>
      <color rgb="FF0E0535"/>
      <color rgb="FF3DD6EB"/>
      <color rgb="FF14074D"/>
      <color rgb="FF171901"/>
      <color rgb="FF2E3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169876</xdr:colOff>
      <xdr:row>0</xdr:row>
      <xdr:rowOff>127470</xdr:rowOff>
    </xdr:from>
    <xdr:to>
      <xdr:col>0</xdr:col>
      <xdr:colOff>2341576</xdr:colOff>
      <xdr:row>4</xdr:row>
      <xdr:rowOff>163912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144530A-9201-A99A-4996-53AC14C84EBC}"/>
            </a:ext>
          </a:extLst>
        </xdr:cNvPr>
        <xdr:cNvSpPr/>
      </xdr:nvSpPr>
      <xdr:spPr>
        <a:xfrm>
          <a:off x="169876" y="127470"/>
          <a:ext cx="2171700" cy="9226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19000">
                    <a:schemeClr val="tx2">
                      <a:lumMod val="49000"/>
                      <a:lumOff val="51000"/>
                    </a:schemeClr>
                  </a:gs>
                  <a:gs pos="100000">
                    <a:schemeClr val="accent1">
                      <a:lumMod val="15000"/>
                      <a:lumOff val="85000"/>
                    </a:schemeClr>
                  </a:gs>
                </a:gsLst>
                <a:lin ang="13500000" scaled="1"/>
                <a:tileRect/>
              </a:gradFill>
              <a:latin typeface="Bahnschrift" panose="020B0502040204020203" pitchFamily="34" charset="0"/>
            </a:rPr>
            <a:t>MEU</a:t>
          </a:r>
          <a:r>
            <a:rPr lang="pt-BR" sz="2400" b="1" baseline="0">
              <a:gradFill flip="none" rotWithShape="1">
                <a:gsLst>
                  <a:gs pos="19000">
                    <a:schemeClr val="tx2">
                      <a:lumMod val="49000"/>
                      <a:lumOff val="51000"/>
                    </a:schemeClr>
                  </a:gs>
                  <a:gs pos="100000">
                    <a:schemeClr val="accent1">
                      <a:lumMod val="15000"/>
                      <a:lumOff val="85000"/>
                    </a:schemeClr>
                  </a:gs>
                </a:gsLst>
                <a:lin ang="13500000" scaled="1"/>
                <a:tileRect/>
              </a:gradFill>
              <a:latin typeface="Bahnschrift" panose="020B0502040204020203" pitchFamily="34" charset="0"/>
            </a:rPr>
            <a:t> IMPOSTO DE RENDA</a:t>
          </a:r>
          <a:endParaRPr lang="pt-BR" sz="2400" b="1">
            <a:gradFill flip="none" rotWithShape="1">
              <a:gsLst>
                <a:gs pos="19000">
                  <a:schemeClr val="tx2">
                    <a:lumMod val="49000"/>
                    <a:lumOff val="51000"/>
                  </a:schemeClr>
                </a:gs>
                <a:gs pos="100000">
                  <a:schemeClr val="accent1">
                    <a:lumMod val="15000"/>
                    <a:lumOff val="85000"/>
                  </a:schemeClr>
                </a:gs>
              </a:gsLst>
              <a:lin ang="13500000" scaled="1"/>
              <a:tileRect/>
            </a:gra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301075</xdr:colOff>
      <xdr:row>5</xdr:row>
      <xdr:rowOff>92813</xdr:rowOff>
    </xdr:from>
    <xdr:to>
      <xdr:col>0</xdr:col>
      <xdr:colOff>2281075</xdr:colOff>
      <xdr:row>7</xdr:row>
      <xdr:rowOff>114347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7209A-C037-7921-6861-4731008354DB}"/>
            </a:ext>
          </a:extLst>
        </xdr:cNvPr>
        <xdr:cNvSpPr/>
      </xdr:nvSpPr>
      <xdr:spPr>
        <a:xfrm>
          <a:off x="301075" y="1278882"/>
          <a:ext cx="1980000" cy="422413"/>
        </a:xfrm>
        <a:prstGeom prst="roundRect">
          <a:avLst>
            <a:gd name="adj" fmla="val 46373"/>
          </a:avLst>
        </a:prstGeom>
        <a:gradFill flip="none" rotWithShape="1">
          <a:gsLst>
            <a:gs pos="28000">
              <a:srgbClr val="636AF3"/>
            </a:gs>
            <a:gs pos="100000">
              <a:schemeClr val="accent1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302028</xdr:colOff>
      <xdr:row>8</xdr:row>
      <xdr:rowOff>165309</xdr:rowOff>
    </xdr:from>
    <xdr:to>
      <xdr:col>0</xdr:col>
      <xdr:colOff>2282028</xdr:colOff>
      <xdr:row>10</xdr:row>
      <xdr:rowOff>170279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076880-BA83-77FC-B48C-48A0A26B64A8}"/>
            </a:ext>
          </a:extLst>
        </xdr:cNvPr>
        <xdr:cNvSpPr/>
      </xdr:nvSpPr>
      <xdr:spPr>
        <a:xfrm>
          <a:off x="302028" y="1962635"/>
          <a:ext cx="1980000" cy="422413"/>
        </a:xfrm>
        <a:prstGeom prst="roundRect">
          <a:avLst>
            <a:gd name="adj" fmla="val 46373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301075</xdr:colOff>
      <xdr:row>12</xdr:row>
      <xdr:rowOff>2495</xdr:rowOff>
    </xdr:from>
    <xdr:to>
      <xdr:col>0</xdr:col>
      <xdr:colOff>2281075</xdr:colOff>
      <xdr:row>14</xdr:row>
      <xdr:rowOff>7465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E4787D-20D8-7EA7-180C-F7F4198431F9}"/>
            </a:ext>
          </a:extLst>
        </xdr:cNvPr>
        <xdr:cNvSpPr/>
      </xdr:nvSpPr>
      <xdr:spPr>
        <a:xfrm>
          <a:off x="301075" y="2633052"/>
          <a:ext cx="1980000" cy="422413"/>
        </a:xfrm>
        <a:prstGeom prst="roundRect">
          <a:avLst>
            <a:gd name="adj" fmla="val 46373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>
    <xdr:from>
      <xdr:col>3</xdr:col>
      <xdr:colOff>74544</xdr:colOff>
      <xdr:row>21</xdr:row>
      <xdr:rowOff>49696</xdr:rowOff>
    </xdr:from>
    <xdr:to>
      <xdr:col>3</xdr:col>
      <xdr:colOff>2095500</xdr:colOff>
      <xdr:row>23</xdr:row>
      <xdr:rowOff>41414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D1258C-7D3D-2EE2-4F3A-5EEAAD3100F6}"/>
            </a:ext>
          </a:extLst>
        </xdr:cNvPr>
        <xdr:cNvSpPr/>
      </xdr:nvSpPr>
      <xdr:spPr>
        <a:xfrm>
          <a:off x="6143330" y="4572710"/>
          <a:ext cx="2020956" cy="372718"/>
        </a:xfrm>
        <a:prstGeom prst="roundRect">
          <a:avLst>
            <a:gd name="adj" fmla="val 5493"/>
          </a:avLst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&gt;&gt;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173686</xdr:colOff>
      <xdr:row>0</xdr:row>
      <xdr:rowOff>125565</xdr:rowOff>
    </xdr:from>
    <xdr:to>
      <xdr:col>0</xdr:col>
      <xdr:colOff>2345386</xdr:colOff>
      <xdr:row>4</xdr:row>
      <xdr:rowOff>162007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1FC7797-43B0-4515-A436-361DB891FC72}"/>
            </a:ext>
          </a:extLst>
        </xdr:cNvPr>
        <xdr:cNvSpPr/>
      </xdr:nvSpPr>
      <xdr:spPr>
        <a:xfrm>
          <a:off x="173686" y="125565"/>
          <a:ext cx="2171700" cy="9143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19000">
                    <a:schemeClr val="tx2">
                      <a:lumMod val="49000"/>
                      <a:lumOff val="51000"/>
                    </a:schemeClr>
                  </a:gs>
                  <a:gs pos="100000">
                    <a:schemeClr val="accent1">
                      <a:lumMod val="15000"/>
                      <a:lumOff val="85000"/>
                    </a:schemeClr>
                  </a:gs>
                </a:gsLst>
                <a:lin ang="13500000" scaled="1"/>
                <a:tileRect/>
              </a:gradFill>
              <a:latin typeface="Bahnschrift" panose="020B0502040204020203" pitchFamily="34" charset="0"/>
            </a:rPr>
            <a:t>MEU</a:t>
          </a:r>
          <a:r>
            <a:rPr lang="pt-BR" sz="2400" b="1" baseline="0">
              <a:gradFill flip="none" rotWithShape="1">
                <a:gsLst>
                  <a:gs pos="19000">
                    <a:schemeClr val="tx2">
                      <a:lumMod val="49000"/>
                      <a:lumOff val="51000"/>
                    </a:schemeClr>
                  </a:gs>
                  <a:gs pos="100000">
                    <a:schemeClr val="accent1">
                      <a:lumMod val="15000"/>
                      <a:lumOff val="85000"/>
                    </a:schemeClr>
                  </a:gs>
                </a:gsLst>
                <a:lin ang="13500000" scaled="1"/>
                <a:tileRect/>
              </a:gradFill>
              <a:latin typeface="Bahnschrift" panose="020B0502040204020203" pitchFamily="34" charset="0"/>
            </a:rPr>
            <a:t> IMPOSTO DE RENDA</a:t>
          </a:r>
          <a:endParaRPr lang="pt-BR" sz="2400" b="1">
            <a:gradFill flip="none" rotWithShape="1">
              <a:gsLst>
                <a:gs pos="19000">
                  <a:schemeClr val="tx2">
                    <a:lumMod val="49000"/>
                    <a:lumOff val="51000"/>
                  </a:schemeClr>
                </a:gs>
                <a:gs pos="100000">
                  <a:schemeClr val="accent1">
                    <a:lumMod val="15000"/>
                    <a:lumOff val="85000"/>
                  </a:schemeClr>
                </a:gs>
              </a:gsLst>
              <a:lin ang="13500000" scaled="1"/>
              <a:tileRect/>
            </a:gra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301075</xdr:colOff>
      <xdr:row>5</xdr:row>
      <xdr:rowOff>90908</xdr:rowOff>
    </xdr:from>
    <xdr:to>
      <xdr:col>0</xdr:col>
      <xdr:colOff>2282980</xdr:colOff>
      <xdr:row>7</xdr:row>
      <xdr:rowOff>112442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34E52C-2015-428A-8295-87C7234207A7}"/>
            </a:ext>
          </a:extLst>
        </xdr:cNvPr>
        <xdr:cNvSpPr/>
      </xdr:nvSpPr>
      <xdr:spPr>
        <a:xfrm>
          <a:off x="301075" y="1267038"/>
          <a:ext cx="1981905" cy="419100"/>
        </a:xfrm>
        <a:prstGeom prst="roundRect">
          <a:avLst>
            <a:gd name="adj" fmla="val 46373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302028</xdr:colOff>
      <xdr:row>8</xdr:row>
      <xdr:rowOff>181874</xdr:rowOff>
    </xdr:from>
    <xdr:to>
      <xdr:col>0</xdr:col>
      <xdr:colOff>2282028</xdr:colOff>
      <xdr:row>11</xdr:row>
      <xdr:rowOff>12909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B5BE39-9A7B-4683-BAAB-756E0198E689}"/>
            </a:ext>
          </a:extLst>
        </xdr:cNvPr>
        <xdr:cNvSpPr/>
      </xdr:nvSpPr>
      <xdr:spPr>
        <a:xfrm>
          <a:off x="302028" y="1946070"/>
          <a:ext cx="1980000" cy="419100"/>
        </a:xfrm>
        <a:prstGeom prst="roundRect">
          <a:avLst>
            <a:gd name="adj" fmla="val 46373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301075</xdr:colOff>
      <xdr:row>12</xdr:row>
      <xdr:rowOff>56001</xdr:rowOff>
    </xdr:from>
    <xdr:to>
      <xdr:col>0</xdr:col>
      <xdr:colOff>2282980</xdr:colOff>
      <xdr:row>14</xdr:row>
      <xdr:rowOff>77536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669DBD-40FC-454A-9504-A65C5441835C}"/>
            </a:ext>
          </a:extLst>
        </xdr:cNvPr>
        <xdr:cNvSpPr/>
      </xdr:nvSpPr>
      <xdr:spPr>
        <a:xfrm>
          <a:off x="301075" y="2615327"/>
          <a:ext cx="1981905" cy="419100"/>
        </a:xfrm>
        <a:prstGeom prst="roundRect">
          <a:avLst>
            <a:gd name="adj" fmla="val 46373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302028</xdr:colOff>
      <xdr:row>8</xdr:row>
      <xdr:rowOff>167214</xdr:rowOff>
    </xdr:from>
    <xdr:to>
      <xdr:col>0</xdr:col>
      <xdr:colOff>2283933</xdr:colOff>
      <xdr:row>10</xdr:row>
      <xdr:rowOff>205314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2BDEF7-BF76-475F-B0D3-ED9D7589C9BF}"/>
            </a:ext>
          </a:extLst>
        </xdr:cNvPr>
        <xdr:cNvSpPr/>
      </xdr:nvSpPr>
      <xdr:spPr>
        <a:xfrm>
          <a:off x="302028" y="1946070"/>
          <a:ext cx="1981905" cy="422413"/>
        </a:xfrm>
        <a:prstGeom prst="roundRect">
          <a:avLst>
            <a:gd name="adj" fmla="val 46373"/>
          </a:avLst>
        </a:prstGeom>
        <a:gradFill flip="none" rotWithShape="1">
          <a:gsLst>
            <a:gs pos="28000">
              <a:srgbClr val="636AF3"/>
            </a:gs>
            <a:gs pos="100000">
              <a:schemeClr val="accent1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114300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52A73262-5D1D-8E15-9D98-FC0742458692}"/>
            </a:ext>
          </a:extLst>
        </xdr:cNvPr>
        <xdr:cNvSpPr>
          <a:spLocks noChangeAspect="1" noChangeArrowheads="1"/>
        </xdr:cNvSpPr>
      </xdr:nvSpPr>
      <xdr:spPr bwMode="auto">
        <a:xfrm>
          <a:off x="3105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97735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3C7460E5-C2F0-1ECA-C1C2-A994998DEAD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44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66263</xdr:colOff>
      <xdr:row>23</xdr:row>
      <xdr:rowOff>183873</xdr:rowOff>
    </xdr:from>
    <xdr:to>
      <xdr:col>3</xdr:col>
      <xdr:colOff>2087219</xdr:colOff>
      <xdr:row>26</xdr:row>
      <xdr:rowOff>1656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542940-1BC0-4320-985F-70C8FB251A40}"/>
            </a:ext>
          </a:extLst>
        </xdr:cNvPr>
        <xdr:cNvSpPr/>
      </xdr:nvSpPr>
      <xdr:spPr>
        <a:xfrm>
          <a:off x="6137415" y="4954656"/>
          <a:ext cx="2020956" cy="389283"/>
        </a:xfrm>
        <a:prstGeom prst="roundRect">
          <a:avLst>
            <a:gd name="adj" fmla="val 5493"/>
          </a:avLst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&gt;&gt;</a:t>
          </a:r>
          <a:endParaRPr lang="pt-BR" sz="1100"/>
        </a:p>
      </xdr:txBody>
    </xdr:sp>
    <xdr:clientData/>
  </xdr:two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E3B8F6A4-260C-45AD-AAB0-DAAD3F1E1804}"/>
            </a:ext>
          </a:extLst>
        </xdr:cNvPr>
        <xdr:cNvSpPr>
          <a:spLocks noChangeAspect="1" noChangeArrowheads="1"/>
        </xdr:cNvSpPr>
      </xdr:nvSpPr>
      <xdr:spPr bwMode="auto">
        <a:xfrm>
          <a:off x="6071152" y="233569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D1EC8113-B7A7-4162-A4B4-07037D7A903D}"/>
            </a:ext>
          </a:extLst>
        </xdr:cNvPr>
        <xdr:cNvSpPr>
          <a:spLocks noChangeAspect="1" noChangeArrowheads="1"/>
        </xdr:cNvSpPr>
      </xdr:nvSpPr>
      <xdr:spPr bwMode="auto">
        <a:xfrm>
          <a:off x="6071152" y="233569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44729</xdr:colOff>
      <xdr:row>23</xdr:row>
      <xdr:rowOff>183873</xdr:rowOff>
    </xdr:from>
    <xdr:to>
      <xdr:col>2</xdr:col>
      <xdr:colOff>2065685</xdr:colOff>
      <xdr:row>26</xdr:row>
      <xdr:rowOff>1656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45C1D2-3D9F-404C-86FF-7799F39DEBEC}"/>
            </a:ext>
          </a:extLst>
        </xdr:cNvPr>
        <xdr:cNvSpPr/>
      </xdr:nvSpPr>
      <xdr:spPr>
        <a:xfrm>
          <a:off x="3150707" y="4954656"/>
          <a:ext cx="2020956" cy="389283"/>
        </a:xfrm>
        <a:prstGeom prst="roundRect">
          <a:avLst>
            <a:gd name="adj" fmla="val 5493"/>
          </a:avLst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&lt;&lt;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177496</xdr:colOff>
      <xdr:row>0</xdr:row>
      <xdr:rowOff>123660</xdr:rowOff>
    </xdr:from>
    <xdr:to>
      <xdr:col>0</xdr:col>
      <xdr:colOff>2349196</xdr:colOff>
      <xdr:row>4</xdr:row>
      <xdr:rowOff>151820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567D6EA-5521-43CD-96E7-A61AA06A3AFF}"/>
            </a:ext>
          </a:extLst>
        </xdr:cNvPr>
        <xdr:cNvSpPr/>
      </xdr:nvSpPr>
      <xdr:spPr>
        <a:xfrm>
          <a:off x="177496" y="123660"/>
          <a:ext cx="2171700" cy="9143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19000">
                    <a:schemeClr val="tx2">
                      <a:lumMod val="49000"/>
                      <a:lumOff val="51000"/>
                    </a:schemeClr>
                  </a:gs>
                  <a:gs pos="100000">
                    <a:schemeClr val="accent1">
                      <a:lumMod val="15000"/>
                      <a:lumOff val="85000"/>
                    </a:schemeClr>
                  </a:gs>
                </a:gsLst>
                <a:lin ang="13500000" scaled="1"/>
                <a:tileRect/>
              </a:gradFill>
              <a:latin typeface="Bahnschrift" panose="020B0502040204020203" pitchFamily="34" charset="0"/>
            </a:rPr>
            <a:t>MEU</a:t>
          </a:r>
          <a:r>
            <a:rPr lang="pt-BR" sz="2400" b="1" baseline="0">
              <a:gradFill flip="none" rotWithShape="1">
                <a:gsLst>
                  <a:gs pos="19000">
                    <a:schemeClr val="tx2">
                      <a:lumMod val="49000"/>
                      <a:lumOff val="51000"/>
                    </a:schemeClr>
                  </a:gs>
                  <a:gs pos="100000">
                    <a:schemeClr val="accent1">
                      <a:lumMod val="15000"/>
                      <a:lumOff val="85000"/>
                    </a:schemeClr>
                  </a:gs>
                </a:gsLst>
                <a:lin ang="13500000" scaled="1"/>
                <a:tileRect/>
              </a:gradFill>
              <a:latin typeface="Bahnschrift" panose="020B0502040204020203" pitchFamily="34" charset="0"/>
            </a:rPr>
            <a:t> IMPOSTO DE RENDA</a:t>
          </a:r>
          <a:endParaRPr lang="pt-BR" sz="2400" b="1">
            <a:gradFill flip="none" rotWithShape="1">
              <a:gsLst>
                <a:gs pos="19000">
                  <a:schemeClr val="tx2">
                    <a:lumMod val="49000"/>
                    <a:lumOff val="51000"/>
                  </a:schemeClr>
                </a:gs>
                <a:gs pos="100000">
                  <a:schemeClr val="accent1">
                    <a:lumMod val="15000"/>
                    <a:lumOff val="85000"/>
                  </a:schemeClr>
                </a:gs>
              </a:gsLst>
              <a:lin ang="13500000" scaled="1"/>
              <a:tileRect/>
            </a:gra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301075</xdr:colOff>
      <xdr:row>5</xdr:row>
      <xdr:rowOff>188394</xdr:rowOff>
    </xdr:from>
    <xdr:to>
      <xdr:col>0</xdr:col>
      <xdr:colOff>2282980</xdr:colOff>
      <xdr:row>8</xdr:row>
      <xdr:rowOff>35994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BC99B-4BA4-4748-B578-102C5752BF20}"/>
            </a:ext>
          </a:extLst>
        </xdr:cNvPr>
        <xdr:cNvSpPr/>
      </xdr:nvSpPr>
      <xdr:spPr>
        <a:xfrm>
          <a:off x="301075" y="1265133"/>
          <a:ext cx="1981905" cy="419100"/>
        </a:xfrm>
        <a:prstGeom prst="roundRect">
          <a:avLst>
            <a:gd name="adj" fmla="val 46373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302028</xdr:colOff>
      <xdr:row>9</xdr:row>
      <xdr:rowOff>107331</xdr:rowOff>
    </xdr:from>
    <xdr:to>
      <xdr:col>0</xdr:col>
      <xdr:colOff>2282028</xdr:colOff>
      <xdr:row>11</xdr:row>
      <xdr:rowOff>145431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D3A12F-42BD-4A69-BC94-E0EF91D787A1}"/>
            </a:ext>
          </a:extLst>
        </xdr:cNvPr>
        <xdr:cNvSpPr/>
      </xdr:nvSpPr>
      <xdr:spPr>
        <a:xfrm>
          <a:off x="302028" y="1946070"/>
          <a:ext cx="1980000" cy="419100"/>
        </a:xfrm>
        <a:prstGeom prst="roundRect">
          <a:avLst>
            <a:gd name="adj" fmla="val 46373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301075</xdr:colOff>
      <xdr:row>13</xdr:row>
      <xdr:rowOff>16493</xdr:rowOff>
    </xdr:from>
    <xdr:to>
      <xdr:col>0</xdr:col>
      <xdr:colOff>2282980</xdr:colOff>
      <xdr:row>15</xdr:row>
      <xdr:rowOff>54593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F37A2B-3287-4DD2-9C5E-52CA3F572782}"/>
            </a:ext>
          </a:extLst>
        </xdr:cNvPr>
        <xdr:cNvSpPr/>
      </xdr:nvSpPr>
      <xdr:spPr>
        <a:xfrm>
          <a:off x="301075" y="2617232"/>
          <a:ext cx="1981905" cy="419100"/>
        </a:xfrm>
        <a:prstGeom prst="roundRect">
          <a:avLst>
            <a:gd name="adj" fmla="val 46373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301075</xdr:colOff>
      <xdr:row>12</xdr:row>
      <xdr:rowOff>185458</xdr:rowOff>
    </xdr:from>
    <xdr:to>
      <xdr:col>0</xdr:col>
      <xdr:colOff>2282980</xdr:colOff>
      <xdr:row>15</xdr:row>
      <xdr:rowOff>33058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8F41C8-6A84-426B-AE60-91399DF6230E}"/>
            </a:ext>
          </a:extLst>
        </xdr:cNvPr>
        <xdr:cNvSpPr/>
      </xdr:nvSpPr>
      <xdr:spPr>
        <a:xfrm>
          <a:off x="301075" y="2617232"/>
          <a:ext cx="1981905" cy="422413"/>
        </a:xfrm>
        <a:prstGeom prst="roundRect">
          <a:avLst>
            <a:gd name="adj" fmla="val 46373"/>
          </a:avLst>
        </a:prstGeom>
        <a:gradFill flip="none" rotWithShape="1">
          <a:gsLst>
            <a:gs pos="28000">
              <a:srgbClr val="636AF3"/>
            </a:gs>
            <a:gs pos="100000">
              <a:schemeClr val="accent1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4</xdr:row>
      <xdr:rowOff>132522</xdr:rowOff>
    </xdr:from>
    <xdr:to>
      <xdr:col>2</xdr:col>
      <xdr:colOff>1399761</xdr:colOff>
      <xdr:row>5</xdr:row>
      <xdr:rowOff>140805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23CDA4-A507-4FAF-BEBF-5AEAF382AB4F}"/>
            </a:ext>
          </a:extLst>
        </xdr:cNvPr>
        <xdr:cNvSpPr/>
      </xdr:nvSpPr>
      <xdr:spPr>
        <a:xfrm>
          <a:off x="3105978" y="1018761"/>
          <a:ext cx="1399761" cy="198783"/>
        </a:xfrm>
        <a:prstGeom prst="roundRect">
          <a:avLst>
            <a:gd name="adj" fmla="val 5493"/>
          </a:avLst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&lt;&lt;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FABED-FB2D-4A89-838D-FE3C8C1EAF1D}" name="Tabela1" displayName="Tabela1" ref="C8:E30" totalsRowShown="0" headerRowDxfId="4" dataDxfId="0">
  <autoFilter ref="C8:E30" xr:uid="{CD6FABED-FB2D-4A89-838D-FE3C8C1EAF1D}"/>
  <tableColumns count="3">
    <tableColumn id="1" xr3:uid="{B550C848-0315-4E21-8C5B-83EB9240D118}" name="DATA" dataDxfId="3"/>
    <tableColumn id="2" xr3:uid="{728FDABE-F915-4E32-9568-E4EE5D9922D9}" name="CATEGORIA" dataDxfId="2"/>
    <tableColumn id="3" xr3:uid="{2DBFBC38-2566-45B4-87EB-807508DA572B}" name="VALOR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mail@gmail.com?subject=Precisamos%20falar%20sobre%20seu%20imposto%20de%20rend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ADC-D5E3-44BA-A2E5-53ADC16609A3}">
  <dimension ref="A1:A51"/>
  <sheetViews>
    <sheetView topLeftCell="A17" workbookViewId="0">
      <selection activeCell="A2" sqref="A2:A51"/>
    </sheetView>
  </sheetViews>
  <sheetFormatPr defaultRowHeight="15" x14ac:dyDescent="0.25"/>
  <cols>
    <col min="1" max="1" width="39" bestFit="1" customWidth="1"/>
  </cols>
  <sheetData>
    <row r="1" spans="1:1" x14ac:dyDescent="0.25">
      <c r="A1" s="4" t="s">
        <v>50</v>
      </c>
    </row>
    <row r="2" spans="1:1" x14ac:dyDescent="0.25">
      <c r="A2" t="s">
        <v>13</v>
      </c>
    </row>
    <row r="3" spans="1:1" x14ac:dyDescent="0.25">
      <c r="A3" t="s">
        <v>48</v>
      </c>
    </row>
    <row r="4" spans="1:1" x14ac:dyDescent="0.25">
      <c r="A4" t="s">
        <v>0</v>
      </c>
    </row>
    <row r="5" spans="1:1" x14ac:dyDescent="0.25">
      <c r="A5" t="s">
        <v>38</v>
      </c>
    </row>
    <row r="6" spans="1:1" x14ac:dyDescent="0.25">
      <c r="A6" t="s">
        <v>46</v>
      </c>
    </row>
    <row r="7" spans="1:1" x14ac:dyDescent="0.25">
      <c r="A7" t="s">
        <v>43</v>
      </c>
    </row>
    <row r="8" spans="1:1" x14ac:dyDescent="0.25">
      <c r="A8" t="s">
        <v>5</v>
      </c>
    </row>
    <row r="9" spans="1:1" x14ac:dyDescent="0.25">
      <c r="A9" t="s">
        <v>28</v>
      </c>
    </row>
    <row r="10" spans="1:1" x14ac:dyDescent="0.25">
      <c r="A10" t="s">
        <v>3</v>
      </c>
    </row>
    <row r="11" spans="1:1" x14ac:dyDescent="0.25">
      <c r="A11" t="s">
        <v>8</v>
      </c>
    </row>
    <row r="12" spans="1:1" x14ac:dyDescent="0.25">
      <c r="A12" t="s">
        <v>4</v>
      </c>
    </row>
    <row r="13" spans="1:1" x14ac:dyDescent="0.25">
      <c r="A13" t="s">
        <v>12</v>
      </c>
    </row>
    <row r="14" spans="1:1" x14ac:dyDescent="0.25">
      <c r="A14" t="s">
        <v>7</v>
      </c>
    </row>
    <row r="15" spans="1:1" x14ac:dyDescent="0.25">
      <c r="A15" t="s">
        <v>11</v>
      </c>
    </row>
    <row r="16" spans="1:1" x14ac:dyDescent="0.25">
      <c r="A16" t="s">
        <v>1</v>
      </c>
    </row>
    <row r="17" spans="1:1" x14ac:dyDescent="0.25">
      <c r="A17" t="s">
        <v>15</v>
      </c>
    </row>
    <row r="18" spans="1:1" x14ac:dyDescent="0.25">
      <c r="A18" t="s">
        <v>44</v>
      </c>
    </row>
    <row r="19" spans="1:1" x14ac:dyDescent="0.25">
      <c r="A19" t="s">
        <v>9</v>
      </c>
    </row>
    <row r="20" spans="1:1" x14ac:dyDescent="0.25">
      <c r="A20" t="s">
        <v>31</v>
      </c>
    </row>
    <row r="21" spans="1:1" x14ac:dyDescent="0.25">
      <c r="A21" t="s">
        <v>39</v>
      </c>
    </row>
    <row r="22" spans="1:1" x14ac:dyDescent="0.25">
      <c r="A22" t="s">
        <v>42</v>
      </c>
    </row>
    <row r="23" spans="1:1" x14ac:dyDescent="0.25">
      <c r="A23" t="s">
        <v>14</v>
      </c>
    </row>
    <row r="24" spans="1:1" x14ac:dyDescent="0.25">
      <c r="A24" t="s">
        <v>49</v>
      </c>
    </row>
    <row r="25" spans="1:1" x14ac:dyDescent="0.25">
      <c r="A25" t="s">
        <v>45</v>
      </c>
    </row>
    <row r="26" spans="1:1" x14ac:dyDescent="0.25">
      <c r="A26" t="s">
        <v>17</v>
      </c>
    </row>
    <row r="27" spans="1:1" x14ac:dyDescent="0.25">
      <c r="A27" t="s">
        <v>16</v>
      </c>
    </row>
    <row r="28" spans="1:1" x14ac:dyDescent="0.25">
      <c r="A28" t="s">
        <v>30</v>
      </c>
    </row>
    <row r="29" spans="1:1" x14ac:dyDescent="0.25">
      <c r="A29" t="s">
        <v>6</v>
      </c>
    </row>
    <row r="30" spans="1:1" x14ac:dyDescent="0.25">
      <c r="A30" t="s">
        <v>33</v>
      </c>
    </row>
    <row r="31" spans="1:1" x14ac:dyDescent="0.25">
      <c r="A31" t="s">
        <v>40</v>
      </c>
    </row>
    <row r="32" spans="1:1" x14ac:dyDescent="0.25">
      <c r="A32" t="s">
        <v>24</v>
      </c>
    </row>
    <row r="33" spans="1:1" x14ac:dyDescent="0.25">
      <c r="A33" t="s">
        <v>19</v>
      </c>
    </row>
    <row r="34" spans="1:1" x14ac:dyDescent="0.25">
      <c r="A34" t="s">
        <v>37</v>
      </c>
    </row>
    <row r="35" spans="1:1" x14ac:dyDescent="0.25">
      <c r="A35" t="s">
        <v>41</v>
      </c>
    </row>
    <row r="36" spans="1:1" x14ac:dyDescent="0.25">
      <c r="A36" t="s">
        <v>35</v>
      </c>
    </row>
    <row r="37" spans="1:1" x14ac:dyDescent="0.25">
      <c r="A37" t="s">
        <v>23</v>
      </c>
    </row>
    <row r="38" spans="1:1" x14ac:dyDescent="0.25">
      <c r="A38" t="s">
        <v>2</v>
      </c>
    </row>
    <row r="39" spans="1:1" x14ac:dyDescent="0.25">
      <c r="A39" t="s">
        <v>36</v>
      </c>
    </row>
    <row r="40" spans="1:1" x14ac:dyDescent="0.25">
      <c r="A40" t="s">
        <v>26</v>
      </c>
    </row>
    <row r="41" spans="1:1" x14ac:dyDescent="0.25">
      <c r="A41" t="s">
        <v>10</v>
      </c>
    </row>
    <row r="42" spans="1:1" x14ac:dyDescent="0.25">
      <c r="A42" t="s">
        <v>29</v>
      </c>
    </row>
    <row r="43" spans="1:1" x14ac:dyDescent="0.25">
      <c r="A43" t="s">
        <v>18</v>
      </c>
    </row>
    <row r="44" spans="1:1" x14ac:dyDescent="0.25">
      <c r="A44" t="s">
        <v>27</v>
      </c>
    </row>
    <row r="45" spans="1:1" x14ac:dyDescent="0.25">
      <c r="A45" t="s">
        <v>21</v>
      </c>
    </row>
    <row r="46" spans="1:1" x14ac:dyDescent="0.25">
      <c r="A46" t="s">
        <v>25</v>
      </c>
    </row>
    <row r="47" spans="1:1" x14ac:dyDescent="0.25">
      <c r="A47" t="s">
        <v>47</v>
      </c>
    </row>
    <row r="48" spans="1:1" x14ac:dyDescent="0.25">
      <c r="A48" t="s">
        <v>32</v>
      </c>
    </row>
    <row r="49" spans="1:1" x14ac:dyDescent="0.25">
      <c r="A49" t="s">
        <v>20</v>
      </c>
    </row>
    <row r="50" spans="1:1" x14ac:dyDescent="0.25">
      <c r="A50" t="s">
        <v>22</v>
      </c>
    </row>
    <row r="51" spans="1:1" x14ac:dyDescent="0.25">
      <c r="A51" t="s">
        <v>34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49CC-2C17-4A8B-B59E-40532A5C1D58}">
  <dimension ref="A1:E20"/>
  <sheetViews>
    <sheetView showGridLines="0" showRowColHeaders="0" tabSelected="1" zoomScale="120" zoomScaleNormal="120" workbookViewId="0">
      <selection activeCell="D16" sqref="D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7.42578125" style="1" customWidth="1"/>
    <col min="3" max="3" width="44.42578125" customWidth="1"/>
    <col min="4" max="4" width="31.85546875" customWidth="1"/>
  </cols>
  <sheetData>
    <row r="1" spans="1:5" x14ac:dyDescent="0.25">
      <c r="A1" s="1" t="s">
        <v>51</v>
      </c>
    </row>
    <row r="4" spans="1:5" ht="24" thickBot="1" x14ac:dyDescent="0.3">
      <c r="C4" s="7" t="s">
        <v>74</v>
      </c>
      <c r="D4" s="7"/>
      <c r="E4" s="7"/>
    </row>
    <row r="5" spans="1:5" ht="23.25" customHeight="1" thickTop="1" x14ac:dyDescent="0.25">
      <c r="C5" s="8" t="s">
        <v>66</v>
      </c>
      <c r="D5" s="9"/>
      <c r="E5" s="9"/>
    </row>
    <row r="7" spans="1:5" ht="16.5" x14ac:dyDescent="0.3">
      <c r="C7" s="2" t="s">
        <v>52</v>
      </c>
      <c r="D7" s="16" t="s">
        <v>67</v>
      </c>
    </row>
    <row r="8" spans="1:5" ht="16.5" x14ac:dyDescent="0.3">
      <c r="C8" s="2" t="s">
        <v>53</v>
      </c>
      <c r="D8" s="19">
        <v>12312312312</v>
      </c>
    </row>
    <row r="9" spans="1:5" ht="16.5" x14ac:dyDescent="0.3">
      <c r="C9" s="2" t="s">
        <v>54</v>
      </c>
      <c r="D9" s="18">
        <v>38993</v>
      </c>
    </row>
    <row r="10" spans="1:5" ht="16.5" x14ac:dyDescent="0.3">
      <c r="C10" s="2" t="s">
        <v>55</v>
      </c>
      <c r="D10" s="16">
        <v>31713388</v>
      </c>
    </row>
    <row r="11" spans="1:5" ht="16.5" x14ac:dyDescent="0.3">
      <c r="C11" s="2" t="s">
        <v>56</v>
      </c>
      <c r="D11" s="16" t="s">
        <v>68</v>
      </c>
    </row>
    <row r="12" spans="1:5" ht="16.5" x14ac:dyDescent="0.3">
      <c r="C12" s="2" t="s">
        <v>57</v>
      </c>
      <c r="D12" s="16" t="s">
        <v>69</v>
      </c>
    </row>
    <row r="13" spans="1:5" ht="16.5" x14ac:dyDescent="0.3">
      <c r="C13" s="2" t="s">
        <v>58</v>
      </c>
      <c r="D13" s="16" t="s">
        <v>70</v>
      </c>
    </row>
    <row r="14" spans="1:5" ht="16.5" x14ac:dyDescent="0.3">
      <c r="C14" s="2" t="s">
        <v>59</v>
      </c>
      <c r="D14" s="20">
        <v>123456123</v>
      </c>
    </row>
    <row r="15" spans="1:5" ht="16.5" x14ac:dyDescent="0.3">
      <c r="C15" s="2" t="s">
        <v>60</v>
      </c>
      <c r="D15" s="21">
        <v>1112341234</v>
      </c>
    </row>
    <row r="16" spans="1:5" ht="16.5" x14ac:dyDescent="0.3">
      <c r="C16" s="2" t="s">
        <v>61</v>
      </c>
      <c r="D16" s="22">
        <v>11912341234</v>
      </c>
    </row>
    <row r="17" spans="3:4" ht="16.5" x14ac:dyDescent="0.3">
      <c r="C17" s="2" t="s">
        <v>62</v>
      </c>
      <c r="D17" s="23" t="s">
        <v>71</v>
      </c>
    </row>
    <row r="18" spans="3:4" ht="16.5" x14ac:dyDescent="0.3">
      <c r="C18" s="2" t="s">
        <v>63</v>
      </c>
      <c r="D18" s="16" t="s">
        <v>73</v>
      </c>
    </row>
    <row r="19" spans="3:4" ht="16.5" x14ac:dyDescent="0.3">
      <c r="C19" s="2" t="s">
        <v>64</v>
      </c>
      <c r="D19" s="16" t="s">
        <v>72</v>
      </c>
    </row>
    <row r="20" spans="3:4" ht="16.5" x14ac:dyDescent="0.3">
      <c r="C20" s="2" t="s">
        <v>65</v>
      </c>
      <c r="D20" s="16" t="s">
        <v>73</v>
      </c>
    </row>
  </sheetData>
  <sheetProtection sheet="1" objects="1" scenarios="1" selectLockedCells="1"/>
  <mergeCells count="2">
    <mergeCell ref="C4:E4"/>
    <mergeCell ref="C5:E5"/>
  </mergeCells>
  <dataValidations count="1">
    <dataValidation type="list" allowBlank="1" showInputMessage="1" showErrorMessage="1" errorTitle="Entrada Inválida" error="Digite ou escolha entre SIM ou NÃO" promptTitle="SIM ou NÃO" prompt="Digite ou selecione o valor abaixo da setinha" sqref="D18:D20" xr:uid="{24166813-9FE8-48F2-9592-9D0A2D31BBFE}">
      <formula1>"SIM,NÃO"</formula1>
    </dataValidation>
  </dataValidations>
  <hyperlinks>
    <hyperlink ref="D17" r:id="rId1" xr:uid="{0A50BBA0-4A82-47F0-9441-949F2BC41919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E4A9-177B-4EDC-BFC4-187733BD5694}">
  <dimension ref="A1:E23"/>
  <sheetViews>
    <sheetView showGridLines="0" showRowColHeaders="0" zoomScale="120" zoomScaleNormal="120" workbookViewId="0">
      <selection activeCell="D23" sqref="D23"/>
    </sheetView>
  </sheetViews>
  <sheetFormatPr defaultRowHeight="15" x14ac:dyDescent="0.25"/>
  <cols>
    <col min="1" max="1" width="37.42578125" style="1" customWidth="1"/>
    <col min="3" max="3" width="44.42578125" bestFit="1" customWidth="1"/>
    <col min="4" max="4" width="31.85546875" customWidth="1"/>
  </cols>
  <sheetData>
    <row r="1" spans="1:5" x14ac:dyDescent="0.25">
      <c r="A1" s="1" t="s">
        <v>51</v>
      </c>
    </row>
    <row r="4" spans="1:5" ht="24" thickBot="1" x14ac:dyDescent="0.3">
      <c r="C4" s="7" t="s">
        <v>75</v>
      </c>
      <c r="D4" s="7"/>
      <c r="E4" s="7"/>
    </row>
    <row r="5" spans="1:5" ht="23.25" customHeight="1" thickTop="1" x14ac:dyDescent="0.25">
      <c r="C5" s="8" t="s">
        <v>76</v>
      </c>
      <c r="D5" s="9"/>
      <c r="E5" s="9"/>
    </row>
    <row r="7" spans="1:5" ht="16.5" x14ac:dyDescent="0.3">
      <c r="C7" s="5" t="s">
        <v>82</v>
      </c>
    </row>
    <row r="8" spans="1:5" x14ac:dyDescent="0.25">
      <c r="C8" s="11">
        <f>SUM(D12,D17,D22)</f>
        <v>195671.21</v>
      </c>
      <c r="D8" s="12"/>
    </row>
    <row r="10" spans="1:5" x14ac:dyDescent="0.25">
      <c r="C10" s="3" t="s">
        <v>80</v>
      </c>
    </row>
    <row r="11" spans="1:5" ht="16.5" x14ac:dyDescent="0.3">
      <c r="C11" s="2" t="s">
        <v>77</v>
      </c>
      <c r="D11" s="16" t="s">
        <v>4</v>
      </c>
    </row>
    <row r="12" spans="1:5" ht="16.5" x14ac:dyDescent="0.3">
      <c r="C12" s="2" t="s">
        <v>78</v>
      </c>
      <c r="D12" s="17">
        <v>100000</v>
      </c>
    </row>
    <row r="13" spans="1:5" ht="16.5" x14ac:dyDescent="0.3">
      <c r="C13" s="2" t="s">
        <v>79</v>
      </c>
      <c r="D13" s="18" t="s">
        <v>81</v>
      </c>
    </row>
    <row r="15" spans="1:5" x14ac:dyDescent="0.25">
      <c r="C15" s="3" t="s">
        <v>83</v>
      </c>
    </row>
    <row r="16" spans="1:5" ht="16.5" x14ac:dyDescent="0.3">
      <c r="C16" s="2" t="s">
        <v>77</v>
      </c>
      <c r="D16" s="16" t="s">
        <v>84</v>
      </c>
    </row>
    <row r="17" spans="3:4" ht="16.5" x14ac:dyDescent="0.3">
      <c r="C17" s="2" t="s">
        <v>78</v>
      </c>
      <c r="D17" s="17">
        <v>50000</v>
      </c>
    </row>
    <row r="18" spans="3:4" ht="16.5" x14ac:dyDescent="0.3">
      <c r="C18" s="2" t="s">
        <v>79</v>
      </c>
      <c r="D18" s="18" t="s">
        <v>81</v>
      </c>
    </row>
    <row r="20" spans="3:4" x14ac:dyDescent="0.25">
      <c r="C20" s="3" t="s">
        <v>85</v>
      </c>
    </row>
    <row r="21" spans="3:4" ht="16.5" x14ac:dyDescent="0.3">
      <c r="C21" s="2" t="s">
        <v>77</v>
      </c>
      <c r="D21" s="16" t="s">
        <v>86</v>
      </c>
    </row>
    <row r="22" spans="3:4" ht="16.5" x14ac:dyDescent="0.3">
      <c r="C22" s="2" t="s">
        <v>78</v>
      </c>
      <c r="D22" s="17">
        <v>45671.21</v>
      </c>
    </row>
    <row r="23" spans="3:4" ht="16.5" x14ac:dyDescent="0.3">
      <c r="C23" s="2" t="s">
        <v>79</v>
      </c>
      <c r="D23" s="18" t="s">
        <v>81</v>
      </c>
    </row>
  </sheetData>
  <sheetProtection sheet="1" objects="1" scenarios="1" selectLockedCells="1"/>
  <mergeCells count="3">
    <mergeCell ref="C4:E4"/>
    <mergeCell ref="C5:E5"/>
    <mergeCell ref="C8:D8"/>
  </mergeCells>
  <phoneticPr fontId="11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Selecione um dos bancos abaixo listados" promptTitle="Informe o Banco" prompt="Informe um dos bancos abaixo listado" xr:uid="{A5C9977F-E67A-40D2-B0B3-4067AC1770D5}">
          <x14:formula1>
            <xm:f>Bancos!$A$2:$A$51</xm:f>
          </x14:formula1>
          <xm:sqref>D11 D16 D21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3259-753D-471E-89C3-1A8D1EB0F5C3}">
  <dimension ref="A1:E30"/>
  <sheetViews>
    <sheetView showGridLines="0" showRowColHeaders="0" zoomScale="120" zoomScaleNormal="120" workbookViewId="0">
      <selection activeCell="E11" sqref="E11"/>
    </sheetView>
  </sheetViews>
  <sheetFormatPr defaultRowHeight="15" x14ac:dyDescent="0.25"/>
  <cols>
    <col min="1" max="1" width="37.42578125" style="1" customWidth="1"/>
    <col min="3" max="5" width="29.28515625" customWidth="1"/>
  </cols>
  <sheetData>
    <row r="1" spans="1:5" x14ac:dyDescent="0.25">
      <c r="A1" s="1" t="s">
        <v>51</v>
      </c>
    </row>
    <row r="3" spans="1:5" ht="24" thickBot="1" x14ac:dyDescent="0.3">
      <c r="C3" s="7" t="s">
        <v>90</v>
      </c>
      <c r="D3" s="7"/>
      <c r="E3" s="7"/>
    </row>
    <row r="4" spans="1:5" ht="15.75" thickTop="1" x14ac:dyDescent="0.25">
      <c r="C4" s="8" t="s">
        <v>76</v>
      </c>
      <c r="D4" s="9"/>
      <c r="E4" s="9"/>
    </row>
    <row r="7" spans="1:5" x14ac:dyDescent="0.25">
      <c r="C7" s="10" t="s">
        <v>87</v>
      </c>
      <c r="D7" s="10"/>
      <c r="E7" s="10"/>
    </row>
    <row r="8" spans="1:5" x14ac:dyDescent="0.25">
      <c r="C8" s="6" t="s">
        <v>88</v>
      </c>
      <c r="D8" s="6" t="s">
        <v>89</v>
      </c>
      <c r="E8" s="6" t="s">
        <v>78</v>
      </c>
    </row>
    <row r="9" spans="1:5" x14ac:dyDescent="0.25">
      <c r="C9" s="13">
        <v>46298</v>
      </c>
      <c r="D9" s="14" t="s">
        <v>91</v>
      </c>
      <c r="E9" s="15">
        <v>5000</v>
      </c>
    </row>
    <row r="10" spans="1:5" x14ac:dyDescent="0.25">
      <c r="C10" s="13">
        <v>46298</v>
      </c>
      <c r="D10" s="14" t="s">
        <v>92</v>
      </c>
      <c r="E10" s="15">
        <v>300</v>
      </c>
    </row>
    <row r="11" spans="1:5" x14ac:dyDescent="0.25">
      <c r="C11" s="13"/>
      <c r="D11" s="14"/>
      <c r="E11" s="15"/>
    </row>
    <row r="12" spans="1:5" x14ac:dyDescent="0.25">
      <c r="C12" s="13"/>
      <c r="D12" s="14"/>
      <c r="E12" s="15"/>
    </row>
    <row r="13" spans="1:5" x14ac:dyDescent="0.25">
      <c r="C13" s="13"/>
      <c r="D13" s="14"/>
      <c r="E13" s="15"/>
    </row>
    <row r="14" spans="1:5" x14ac:dyDescent="0.25">
      <c r="C14" s="13"/>
      <c r="D14" s="14"/>
      <c r="E14" s="15"/>
    </row>
    <row r="15" spans="1:5" x14ac:dyDescent="0.25">
      <c r="C15" s="13"/>
      <c r="D15" s="14"/>
      <c r="E15" s="15"/>
    </row>
    <row r="16" spans="1:5" x14ac:dyDescent="0.25">
      <c r="C16" s="13"/>
      <c r="D16" s="14"/>
      <c r="E16" s="15"/>
    </row>
    <row r="17" spans="3:5" x14ac:dyDescent="0.25">
      <c r="C17" s="13"/>
      <c r="D17" s="14"/>
      <c r="E17" s="15"/>
    </row>
    <row r="18" spans="3:5" x14ac:dyDescent="0.25">
      <c r="C18" s="13"/>
      <c r="D18" s="14"/>
      <c r="E18" s="15"/>
    </row>
    <row r="19" spans="3:5" x14ac:dyDescent="0.25">
      <c r="C19" s="13"/>
      <c r="D19" s="14"/>
      <c r="E19" s="15"/>
    </row>
    <row r="20" spans="3:5" x14ac:dyDescent="0.25">
      <c r="C20" s="13"/>
      <c r="D20" s="14"/>
      <c r="E20" s="15"/>
    </row>
    <row r="21" spans="3:5" x14ac:dyDescent="0.25">
      <c r="C21" s="13"/>
      <c r="D21" s="14"/>
      <c r="E21" s="15"/>
    </row>
    <row r="22" spans="3:5" x14ac:dyDescent="0.25">
      <c r="C22" s="13"/>
      <c r="D22" s="14"/>
      <c r="E22" s="15"/>
    </row>
    <row r="23" spans="3:5" x14ac:dyDescent="0.25">
      <c r="C23" s="13"/>
      <c r="D23" s="14"/>
      <c r="E23" s="15"/>
    </row>
    <row r="24" spans="3:5" x14ac:dyDescent="0.25">
      <c r="C24" s="13"/>
      <c r="D24" s="14"/>
      <c r="E24" s="15"/>
    </row>
    <row r="25" spans="3:5" x14ac:dyDescent="0.25">
      <c r="C25" s="13"/>
      <c r="D25" s="14"/>
      <c r="E25" s="15"/>
    </row>
    <row r="26" spans="3:5" x14ac:dyDescent="0.25">
      <c r="C26" s="13"/>
      <c r="D26" s="14"/>
      <c r="E26" s="15"/>
    </row>
    <row r="27" spans="3:5" x14ac:dyDescent="0.25">
      <c r="C27" s="13"/>
      <c r="D27" s="14"/>
      <c r="E27" s="15"/>
    </row>
    <row r="28" spans="3:5" x14ac:dyDescent="0.25">
      <c r="C28" s="13"/>
      <c r="D28" s="14"/>
      <c r="E28" s="15"/>
    </row>
    <row r="29" spans="3:5" x14ac:dyDescent="0.25">
      <c r="C29" s="13"/>
      <c r="D29" s="14"/>
      <c r="E29" s="15"/>
    </row>
    <row r="30" spans="3:5" x14ac:dyDescent="0.25">
      <c r="C30" s="13"/>
      <c r="D30" s="14"/>
      <c r="E30" s="15"/>
    </row>
  </sheetData>
  <sheetProtection sheet="1" objects="1" scenarios="1" selectLockedCells="1"/>
  <mergeCells count="3">
    <mergeCell ref="C3:E3"/>
    <mergeCell ref="C4:E4"/>
    <mergeCell ref="C7:E7"/>
  </mergeCells>
  <dataValidations count="1">
    <dataValidation type="list" allowBlank="1" showInputMessage="1" showErrorMessage="1" sqref="D9:D30" xr:uid="{A119963D-AE1A-456E-8961-3D59AC7F3EA4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8B69849B-37F1-4594-8DF9-7938EC83CA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8F71B4-0C4E-464B-8DD1-FE385FAE2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80C06D-F603-4315-BF13-982EB8576E3A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Bancos</vt:lpstr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Enzo Santiago de Souza</cp:lastModifiedBy>
  <dcterms:created xsi:type="dcterms:W3CDTF">2025-04-28T22:47:29Z</dcterms:created>
  <dcterms:modified xsi:type="dcterms:W3CDTF">2026-10-03T19:13:20Z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